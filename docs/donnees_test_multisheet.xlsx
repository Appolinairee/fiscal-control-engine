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es" sheetId="1" state="visible" r:id="rId3"/>
    <sheet name="Stock" sheetId="2" state="visible" r:id="rId4"/>
    <sheet name="Clients" sheetId="3" state="visible" r:id="rId5"/>
    <sheet name="Synthes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<sst xmlns="http://schemas.openxmlformats.org/spreadsheetml/2006/main" count="218" uniqueCount="132">
  <si>
    <t xml:space="preserve">Produit</t>
  </si>
  <si>
    <t xml:space="preserve">Categorie</t>
  </si>
  <si>
    <t xml:space="preserve">Prix Unitaire (MAD)</t>
  </si>
  <si>
    <t xml:space="preserve">Jan</t>
  </si>
  <si>
    <t xml:space="preserve">Fev</t>
  </si>
  <si>
    <t xml:space="preserve">Mar</t>
  </si>
  <si>
    <t xml:space="preserve">Avr</t>
  </si>
  <si>
    <t xml:space="preserve">Mai</t>
  </si>
  <si>
    <t xml:space="preserve">Jun</t>
  </si>
  <si>
    <t xml:space="preserve">Jul</t>
  </si>
  <si>
    <t xml:space="preserve">Aou</t>
  </si>
  <si>
    <t xml:space="preserve">Sep</t>
  </si>
  <si>
    <t xml:space="preserve">Oct</t>
  </si>
  <si>
    <t xml:space="preserve">Nov</t>
  </si>
  <si>
    <t xml:space="preserve">Dec</t>
  </si>
  <si>
    <t xml:space="preserve">Total Annuel</t>
  </si>
  <si>
    <t xml:space="preserve">Moyenne Mensuelle</t>
  </si>
  <si>
    <t xml:space="preserve">Casque Audio</t>
  </si>
  <si>
    <t xml:space="preserve">Audio</t>
  </si>
  <si>
    <t xml:space="preserve">Clavier Meca</t>
  </si>
  <si>
    <t xml:space="preserve">Souris Gaming</t>
  </si>
  <si>
    <t xml:space="preserve">Peripherique</t>
  </si>
  <si>
    <t xml:space="preserve">Ecran 27p</t>
  </si>
  <si>
    <t xml:space="preserve">Webcam HD</t>
  </si>
  <si>
    <t xml:space="preserve">Mobilier</t>
  </si>
  <si>
    <t xml:space="preserve">Micro USB</t>
  </si>
  <si>
    <t xml:space="preserve">Enceinte BT</t>
  </si>
  <si>
    <t xml:space="preserve">Tapis Souris</t>
  </si>
  <si>
    <t xml:space="preserve">Ecran</t>
  </si>
  <si>
    <t xml:space="preserve">Support PC</t>
  </si>
  <si>
    <t xml:space="preserve">Accessoire</t>
  </si>
  <si>
    <t xml:space="preserve">Cable USB-C</t>
  </si>
  <si>
    <t xml:space="preserve">Chargeur Rapide</t>
  </si>
  <si>
    <t xml:space="preserve">Batterie Externe</t>
  </si>
  <si>
    <t xml:space="preserve">Hub USB</t>
  </si>
  <si>
    <t xml:space="preserve">Disque SSD</t>
  </si>
  <si>
    <t xml:space="preserve">Cle USB</t>
  </si>
  <si>
    <t xml:space="preserve">Routeur WiFi</t>
  </si>
  <si>
    <t xml:space="preserve">Adaptateur HDMI</t>
  </si>
  <si>
    <t xml:space="preserve">Lampe Bureau</t>
  </si>
  <si>
    <t xml:space="preserve">Chaise Gaming</t>
  </si>
  <si>
    <t xml:space="preserve">Bureau Reglable</t>
  </si>
  <si>
    <t xml:space="preserve">TOTAL</t>
  </si>
  <si>
    <t xml:space="preserve">Stock Actuel</t>
  </si>
  <si>
    <t xml:space="preserve">Seuil Alerte</t>
  </si>
  <si>
    <t xml:space="preserve">Statut</t>
  </si>
  <si>
    <t xml:space="preserve">Reappro Suggere</t>
  </si>
  <si>
    <t xml:space="preserve">ID Client</t>
  </si>
  <si>
    <t xml:space="preserve">Nom</t>
  </si>
  <si>
    <t xml:space="preserve">Ville</t>
  </si>
  <si>
    <t xml:space="preserve">Segment</t>
  </si>
  <si>
    <t xml:space="preserve">CA Annuel (MAD)</t>
  </si>
  <si>
    <t xml:space="preserve">Remise (%)</t>
  </si>
  <si>
    <t xml:space="preserve">CA Net (MAD)</t>
  </si>
  <si>
    <t xml:space="preserve">CL001</t>
  </si>
  <si>
    <t xml:space="preserve">Alpha SARL</t>
  </si>
  <si>
    <t xml:space="preserve">Casablanca</t>
  </si>
  <si>
    <t xml:space="preserve">Revendeur</t>
  </si>
  <si>
    <t xml:space="preserve">CL002</t>
  </si>
  <si>
    <t xml:space="preserve">Beta Trading</t>
  </si>
  <si>
    <t xml:space="preserve">Kenitra</t>
  </si>
  <si>
    <t xml:space="preserve">CL003</t>
  </si>
  <si>
    <t xml:space="preserve">Gamma Distrib</t>
  </si>
  <si>
    <t xml:space="preserve">Marrakech</t>
  </si>
  <si>
    <t xml:space="preserve">Particulier</t>
  </si>
  <si>
    <t xml:space="preserve">CL004</t>
  </si>
  <si>
    <t xml:space="preserve">Delta Corp</t>
  </si>
  <si>
    <t xml:space="preserve">CL005</t>
  </si>
  <si>
    <t xml:space="preserve">Epsilon Shop</t>
  </si>
  <si>
    <t xml:space="preserve">Oujda</t>
  </si>
  <si>
    <t xml:space="preserve">CL006</t>
  </si>
  <si>
    <t xml:space="preserve">Zeta Import</t>
  </si>
  <si>
    <t xml:space="preserve">Tanger</t>
  </si>
  <si>
    <t xml:space="preserve">CL007</t>
  </si>
  <si>
    <t xml:space="preserve">Eta Retail</t>
  </si>
  <si>
    <t xml:space="preserve">Rabat</t>
  </si>
  <si>
    <t xml:space="preserve">Entreprise</t>
  </si>
  <si>
    <t xml:space="preserve">CL008</t>
  </si>
  <si>
    <t xml:space="preserve">Theta Group</t>
  </si>
  <si>
    <t xml:space="preserve">Agadir</t>
  </si>
  <si>
    <t xml:space="preserve">CL009</t>
  </si>
  <si>
    <t xml:space="preserve">Iota Services</t>
  </si>
  <si>
    <t xml:space="preserve">CL010</t>
  </si>
  <si>
    <t xml:space="preserve">Kappa Store</t>
  </si>
  <si>
    <t xml:space="preserve">CL011</t>
  </si>
  <si>
    <t xml:space="preserve">Lambda Tech</t>
  </si>
  <si>
    <t xml:space="preserve">CL012</t>
  </si>
  <si>
    <t xml:space="preserve">Mu Solutions</t>
  </si>
  <si>
    <t xml:space="preserve">CL013</t>
  </si>
  <si>
    <t xml:space="preserve">Nu Commerce</t>
  </si>
  <si>
    <t xml:space="preserve">Fes</t>
  </si>
  <si>
    <t xml:space="preserve">CL014</t>
  </si>
  <si>
    <t xml:space="preserve">Xi Partners</t>
  </si>
  <si>
    <t xml:space="preserve">CL015</t>
  </si>
  <si>
    <t xml:space="preserve">Omicron Biz</t>
  </si>
  <si>
    <t xml:space="preserve">CL016</t>
  </si>
  <si>
    <t xml:space="preserve">Pi Ventures</t>
  </si>
  <si>
    <t xml:space="preserve">CL017</t>
  </si>
  <si>
    <t xml:space="preserve">Rho Market</t>
  </si>
  <si>
    <t xml:space="preserve">CL018</t>
  </si>
  <si>
    <t xml:space="preserve">Sigma Trade</t>
  </si>
  <si>
    <t xml:space="preserve">CL019</t>
  </si>
  <si>
    <t xml:space="preserve">Tau Supply</t>
  </si>
  <si>
    <t xml:space="preserve">CL020</t>
  </si>
  <si>
    <t xml:space="preserve">Upsilon Co</t>
  </si>
  <si>
    <t xml:space="preserve">CL021</t>
  </si>
  <si>
    <t xml:space="preserve">Phi Network</t>
  </si>
  <si>
    <t xml:space="preserve">CL022</t>
  </si>
  <si>
    <t xml:space="preserve">Chi Global</t>
  </si>
  <si>
    <t xml:space="preserve">CL023</t>
  </si>
  <si>
    <t xml:space="preserve">Psi Holding</t>
  </si>
  <si>
    <t xml:space="preserve">CL024</t>
  </si>
  <si>
    <t xml:space="preserve">Omega Ltd</t>
  </si>
  <si>
    <t xml:space="preserve">CL025</t>
  </si>
  <si>
    <t xml:space="preserve">Atlas Corp</t>
  </si>
  <si>
    <t xml:space="preserve">CL026</t>
  </si>
  <si>
    <t xml:space="preserve">Nova Distrib</t>
  </si>
  <si>
    <t xml:space="preserve">CL027</t>
  </si>
  <si>
    <t xml:space="preserve">Zenith SARL</t>
  </si>
  <si>
    <t xml:space="preserve">CL028</t>
  </si>
  <si>
    <t xml:space="preserve">Orbit Trading</t>
  </si>
  <si>
    <t xml:space="preserve">CL029</t>
  </si>
  <si>
    <t xml:space="preserve">Vertex Group</t>
  </si>
  <si>
    <t xml:space="preserve">CL030</t>
  </si>
  <si>
    <t xml:space="preserve">Prime Retail</t>
  </si>
  <si>
    <t xml:space="preserve">Indicateur</t>
  </si>
  <si>
    <t xml:space="preserve">Valeur</t>
  </si>
  <si>
    <t xml:space="preserve">Total Ventes Annuelles (unites x prix, approx via Ventes)</t>
  </si>
  <si>
    <t xml:space="preserve">Nombre Produits en Rupture Proche</t>
  </si>
  <si>
    <t xml:space="preserve">CA Net Total Clients</t>
  </si>
  <si>
    <t xml:space="preserve">Nombre Clients Entreprise</t>
  </si>
  <si>
    <t xml:space="preserve">Prix Moyen Produits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</si>
</sst>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17" min="2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0" t="s">
        <v>17</v>
      </c>
      <c r="B2" s="0" t="s">
        <v>18</v>
      </c>
      <c r="C2" s="0" t="n">
        <v>86.27</v>
      </c>
      <c r="D2" s="0" t="n">
        <v>75</v>
      </c>
      <c r="E2" s="0" t="n">
        <v>67</v>
      </c>
      <c r="F2" s="0" t="n">
        <v>62</v>
      </c>
      <c r="G2" s="0" t="n">
        <v>40</v>
      </c>
      <c r="H2" s="0" t="n">
        <v>193</v>
      </c>
      <c r="I2" s="0" t="n">
        <v>31</v>
      </c>
      <c r="J2" s="0" t="n">
        <v>178</v>
      </c>
      <c r="K2" s="0" t="n">
        <v>194</v>
      </c>
      <c r="L2" s="0" t="n">
        <v>144</v>
      </c>
      <c r="M2" s="0" t="n">
        <v>27</v>
      </c>
      <c r="N2" s="0" t="n">
        <v>156</v>
      </c>
      <c r="O2" s="0" t="n">
        <v>113</v>
      </c>
      <c r="P2" s="0" t="n">
        <f aca="false">SUM(D2:O2)</f>
        <v>1280</v>
      </c>
      <c r="Q2" s="0" t="n">
        <f aca="false">AVERAGE(D2:O2)</f>
        <v>106.666666666667</v>
      </c>
    </row>
    <row r="3" customFormat="false" ht="15" hidden="false" customHeight="false" outlineLevel="0" collapsed="false">
      <c r="A3" s="0" t="s">
        <v>19</v>
      </c>
      <c r="B3" s="0" t="s">
        <v>18</v>
      </c>
      <c r="C3" s="0" t="n">
        <v>93.21</v>
      </c>
      <c r="D3" s="0" t="n">
        <v>60</v>
      </c>
      <c r="E3" s="0" t="n">
        <v>64</v>
      </c>
      <c r="F3" s="0" t="n">
        <v>134</v>
      </c>
      <c r="G3" s="0" t="n">
        <v>159</v>
      </c>
      <c r="H3" s="0" t="n">
        <v>11</v>
      </c>
      <c r="I3" s="0" t="n">
        <v>148</v>
      </c>
      <c r="J3" s="0" t="n">
        <v>55</v>
      </c>
      <c r="K3" s="0" t="n">
        <v>188</v>
      </c>
      <c r="L3" s="0" t="n">
        <v>171</v>
      </c>
      <c r="M3" s="0" t="n">
        <v>184</v>
      </c>
      <c r="N3" s="0" t="n">
        <v>144</v>
      </c>
      <c r="O3" s="0" t="n">
        <v>112</v>
      </c>
      <c r="P3" s="0" t="n">
        <f aca="false">SUM(D3:O3)</f>
        <v>1430</v>
      </c>
      <c r="Q3" s="0" t="n">
        <f aca="false">AVERAGE(D3:O3)</f>
        <v>119.166666666667</v>
      </c>
    </row>
    <row r="4" customFormat="false" ht="15" hidden="false" customHeight="false" outlineLevel="0" collapsed="false">
      <c r="A4" s="0" t="s">
        <v>20</v>
      </c>
      <c r="B4" s="0" t="s">
        <v>21</v>
      </c>
      <c r="C4" s="0" t="n">
        <v>701.35</v>
      </c>
      <c r="D4" s="0" t="n">
        <v>76</v>
      </c>
      <c r="E4" s="0" t="n">
        <v>6</v>
      </c>
      <c r="F4" s="0" t="n">
        <v>199</v>
      </c>
      <c r="G4" s="0" t="n">
        <v>45</v>
      </c>
      <c r="H4" s="0" t="n">
        <v>183</v>
      </c>
      <c r="I4" s="0" t="n">
        <v>113</v>
      </c>
      <c r="J4" s="0" t="n">
        <v>92</v>
      </c>
      <c r="K4" s="0" t="n">
        <v>76</v>
      </c>
      <c r="L4" s="0" t="n">
        <v>44</v>
      </c>
      <c r="M4" s="0" t="n">
        <v>60</v>
      </c>
      <c r="N4" s="0" t="n">
        <v>200</v>
      </c>
      <c r="O4" s="0" t="n">
        <v>91</v>
      </c>
      <c r="P4" s="0" t="n">
        <f aca="false">SUM(D4:O4)</f>
        <v>1185</v>
      </c>
      <c r="Q4" s="0" t="n">
        <f aca="false">AVERAGE(D4:O4)</f>
        <v>98.75</v>
      </c>
    </row>
    <row r="5" customFormat="false" ht="15" hidden="false" customHeight="false" outlineLevel="0" collapsed="false">
      <c r="A5" s="0" t="s">
        <v>22</v>
      </c>
      <c r="B5" s="0" t="s">
        <v>18</v>
      </c>
      <c r="C5" s="0" t="n">
        <v>184.48</v>
      </c>
      <c r="D5" s="0" t="n">
        <v>29</v>
      </c>
      <c r="E5" s="0" t="n">
        <v>96</v>
      </c>
      <c r="F5" s="0" t="n">
        <v>93</v>
      </c>
      <c r="G5" s="0" t="n">
        <v>159</v>
      </c>
      <c r="H5" s="0" t="n">
        <v>72</v>
      </c>
      <c r="I5" s="0" t="n">
        <v>16</v>
      </c>
      <c r="J5" s="0" t="n">
        <v>191</v>
      </c>
      <c r="K5" s="0" t="n">
        <v>122</v>
      </c>
      <c r="L5" s="0" t="n">
        <v>142</v>
      </c>
      <c r="M5" s="0" t="n">
        <v>36</v>
      </c>
      <c r="N5" s="0" t="n">
        <v>101</v>
      </c>
      <c r="O5" s="0" t="n">
        <v>25</v>
      </c>
      <c r="P5" s="0" t="n">
        <f aca="false">SUM(D5:O5)</f>
        <v>1082</v>
      </c>
      <c r="Q5" s="0" t="n">
        <f aca="false">AVERAGE(D5:O5)</f>
        <v>90.1666666666667</v>
      </c>
    </row>
    <row r="6" customFormat="false" ht="15" hidden="false" customHeight="false" outlineLevel="0" collapsed="false">
      <c r="A6" s="0" t="s">
        <v>23</v>
      </c>
      <c r="B6" s="0" t="s">
        <v>24</v>
      </c>
      <c r="C6" s="0" t="n">
        <v>475.11</v>
      </c>
      <c r="D6" s="0" t="n">
        <v>165</v>
      </c>
      <c r="E6" s="0" t="n">
        <v>163</v>
      </c>
      <c r="F6" s="0" t="n">
        <v>97</v>
      </c>
      <c r="G6" s="0" t="n">
        <v>152</v>
      </c>
      <c r="H6" s="0" t="n">
        <v>54</v>
      </c>
      <c r="I6" s="0" t="n">
        <v>185</v>
      </c>
      <c r="J6" s="0" t="n">
        <v>22</v>
      </c>
      <c r="K6" s="0" t="n">
        <v>16</v>
      </c>
      <c r="L6" s="0" t="n">
        <v>174</v>
      </c>
      <c r="M6" s="0" t="n">
        <v>63</v>
      </c>
      <c r="N6" s="0" t="n">
        <v>79</v>
      </c>
      <c r="O6" s="0" t="n">
        <v>25</v>
      </c>
      <c r="P6" s="0" t="n">
        <f aca="false">SUM(D6:O6)</f>
        <v>1195</v>
      </c>
      <c r="Q6" s="0" t="n">
        <f aca="false">AVERAGE(D6:O6)</f>
        <v>99.5833333333333</v>
      </c>
    </row>
    <row r="7" customFormat="false" ht="15" hidden="false" customHeight="false" outlineLevel="0" collapsed="false">
      <c r="A7" s="0" t="s">
        <v>25</v>
      </c>
      <c r="B7" s="0" t="s">
        <v>21</v>
      </c>
      <c r="C7" s="0" t="n">
        <v>1306.4</v>
      </c>
      <c r="D7" s="0" t="n">
        <v>102</v>
      </c>
      <c r="E7" s="0" t="n">
        <v>76</v>
      </c>
      <c r="F7" s="0" t="n">
        <v>121</v>
      </c>
      <c r="G7" s="0" t="n">
        <v>167</v>
      </c>
      <c r="H7" s="0" t="n">
        <v>98</v>
      </c>
      <c r="I7" s="0" t="n">
        <v>46</v>
      </c>
      <c r="J7" s="0" t="n">
        <v>99</v>
      </c>
      <c r="K7" s="0" t="n">
        <v>95</v>
      </c>
      <c r="L7" s="0" t="n">
        <v>58</v>
      </c>
      <c r="M7" s="0" t="n">
        <v>176</v>
      </c>
      <c r="N7" s="0" t="n">
        <v>73</v>
      </c>
      <c r="O7" s="0" t="n">
        <v>184</v>
      </c>
      <c r="P7" s="0" t="n">
        <f aca="false">SUM(D7:O7)</f>
        <v>1295</v>
      </c>
      <c r="Q7" s="0" t="n">
        <f aca="false">AVERAGE(D7:O7)</f>
        <v>107.916666666667</v>
      </c>
    </row>
    <row r="8" customFormat="false" ht="15" hidden="false" customHeight="false" outlineLevel="0" collapsed="false">
      <c r="A8" s="0" t="s">
        <v>26</v>
      </c>
      <c r="B8" s="0" t="s">
        <v>18</v>
      </c>
      <c r="C8" s="0" t="n">
        <v>933.24</v>
      </c>
      <c r="D8" s="0" t="n">
        <v>48</v>
      </c>
      <c r="E8" s="0" t="n">
        <v>141</v>
      </c>
      <c r="F8" s="0" t="n">
        <v>191</v>
      </c>
      <c r="G8" s="0" t="n">
        <v>67</v>
      </c>
      <c r="H8" s="0" t="n">
        <v>46</v>
      </c>
      <c r="I8" s="0" t="n">
        <v>123</v>
      </c>
      <c r="J8" s="0" t="n">
        <v>102</v>
      </c>
      <c r="K8" s="0" t="n">
        <v>74</v>
      </c>
      <c r="L8" s="0" t="n">
        <v>168</v>
      </c>
      <c r="M8" s="0" t="n">
        <v>181</v>
      </c>
      <c r="N8" s="0" t="n">
        <v>147</v>
      </c>
      <c r="O8" s="0" t="n">
        <v>61</v>
      </c>
      <c r="P8" s="0" t="n">
        <f aca="false">SUM(D8:O8)</f>
        <v>1349</v>
      </c>
      <c r="Q8" s="0" t="n">
        <f aca="false">AVERAGE(D8:O8)</f>
        <v>112.416666666667</v>
      </c>
    </row>
    <row r="9" customFormat="false" ht="15" hidden="false" customHeight="false" outlineLevel="0" collapsed="false">
      <c r="A9" s="0" t="s">
        <v>27</v>
      </c>
      <c r="B9" s="0" t="s">
        <v>28</v>
      </c>
      <c r="C9" s="0" t="n">
        <v>1272.14</v>
      </c>
      <c r="D9" s="0" t="n">
        <v>19</v>
      </c>
      <c r="E9" s="0" t="n">
        <v>63</v>
      </c>
      <c r="F9" s="0" t="n">
        <v>13</v>
      </c>
      <c r="G9" s="0" t="n">
        <v>85</v>
      </c>
      <c r="H9" s="0" t="n">
        <v>107</v>
      </c>
      <c r="I9" s="0" t="n">
        <v>73</v>
      </c>
      <c r="J9" s="0" t="n">
        <v>21</v>
      </c>
      <c r="K9" s="0" t="n">
        <v>59</v>
      </c>
      <c r="L9" s="0" t="n">
        <v>150</v>
      </c>
      <c r="M9" s="0" t="n">
        <v>188</v>
      </c>
      <c r="N9" s="0" t="n">
        <v>85</v>
      </c>
      <c r="O9" s="0" t="n">
        <v>59</v>
      </c>
      <c r="P9" s="0" t="n">
        <f aca="false">SUM(D9:O9)</f>
        <v>922</v>
      </c>
      <c r="Q9" s="0" t="n">
        <f aca="false">AVERAGE(D9:O9)</f>
        <v>76.8333333333333</v>
      </c>
    </row>
    <row r="10" customFormat="false" ht="15" hidden="false" customHeight="false" outlineLevel="0" collapsed="false">
      <c r="A10" s="0" t="s">
        <v>29</v>
      </c>
      <c r="B10" s="0" t="s">
        <v>30</v>
      </c>
      <c r="C10" s="0" t="n">
        <v>623.67</v>
      </c>
      <c r="D10" s="0" t="n">
        <v>169</v>
      </c>
      <c r="E10" s="0" t="n">
        <v>122</v>
      </c>
      <c r="F10" s="0" t="n">
        <v>41</v>
      </c>
      <c r="G10" s="0" t="n">
        <v>72</v>
      </c>
      <c r="H10" s="0" t="n">
        <v>40</v>
      </c>
      <c r="I10" s="0" t="n">
        <v>68</v>
      </c>
      <c r="J10" s="0" t="n">
        <v>195</v>
      </c>
      <c r="K10" s="0" t="n">
        <v>148</v>
      </c>
      <c r="L10" s="0" t="n">
        <v>142</v>
      </c>
      <c r="M10" s="0" t="n">
        <v>72</v>
      </c>
      <c r="N10" s="0" t="n">
        <v>196</v>
      </c>
      <c r="O10" s="0" t="n">
        <v>154</v>
      </c>
      <c r="P10" s="0" t="n">
        <f aca="false">SUM(D10:O10)</f>
        <v>1419</v>
      </c>
      <c r="Q10" s="0" t="n">
        <f aca="false">AVERAGE(D10:O10)</f>
        <v>118.25</v>
      </c>
    </row>
    <row r="11" customFormat="false" ht="15" hidden="false" customHeight="false" outlineLevel="0" collapsed="false">
      <c r="A11" s="0" t="s">
        <v>31</v>
      </c>
      <c r="B11" s="0" t="s">
        <v>30</v>
      </c>
      <c r="C11" s="0" t="n">
        <v>1351.84</v>
      </c>
      <c r="D11" s="0" t="n">
        <v>107</v>
      </c>
      <c r="E11" s="0" t="n">
        <v>97</v>
      </c>
      <c r="F11" s="0" t="n">
        <v>61</v>
      </c>
      <c r="G11" s="0" t="n">
        <v>40</v>
      </c>
      <c r="H11" s="0" t="n">
        <v>135</v>
      </c>
      <c r="I11" s="0" t="n">
        <v>131</v>
      </c>
      <c r="J11" s="0" t="n">
        <v>28</v>
      </c>
      <c r="K11" s="0" t="n">
        <v>198</v>
      </c>
      <c r="L11" s="0" t="n">
        <v>17</v>
      </c>
      <c r="M11" s="0" t="n">
        <v>33</v>
      </c>
      <c r="N11" s="0" t="n">
        <v>44</v>
      </c>
      <c r="O11" s="0" t="n">
        <v>165</v>
      </c>
      <c r="P11" s="0" t="n">
        <f aca="false">SUM(D11:O11)</f>
        <v>1056</v>
      </c>
      <c r="Q11" s="0" t="n">
        <f aca="false">AVERAGE(D11:O11)</f>
        <v>88</v>
      </c>
    </row>
    <row r="12" customFormat="false" ht="15" hidden="false" customHeight="false" outlineLevel="0" collapsed="false">
      <c r="A12" s="0" t="s">
        <v>32</v>
      </c>
      <c r="B12" s="0" t="s">
        <v>21</v>
      </c>
      <c r="C12" s="0" t="n">
        <v>1198.52</v>
      </c>
      <c r="D12" s="0" t="n">
        <v>113</v>
      </c>
      <c r="E12" s="0" t="n">
        <v>157</v>
      </c>
      <c r="F12" s="0" t="n">
        <v>21</v>
      </c>
      <c r="G12" s="0" t="n">
        <v>103</v>
      </c>
      <c r="H12" s="0" t="n">
        <v>102</v>
      </c>
      <c r="I12" s="0" t="n">
        <v>157</v>
      </c>
      <c r="J12" s="0" t="n">
        <v>124</v>
      </c>
      <c r="K12" s="0" t="n">
        <v>140</v>
      </c>
      <c r="L12" s="0" t="n">
        <v>69</v>
      </c>
      <c r="M12" s="0" t="n">
        <v>146</v>
      </c>
      <c r="N12" s="0" t="n">
        <v>7</v>
      </c>
      <c r="O12" s="0" t="n">
        <v>179</v>
      </c>
      <c r="P12" s="0" t="n">
        <f aca="false">SUM(D12:O12)</f>
        <v>1318</v>
      </c>
      <c r="Q12" s="0" t="n">
        <f aca="false">AVERAGE(D12:O12)</f>
        <v>109.833333333333</v>
      </c>
    </row>
    <row r="13" customFormat="false" ht="15" hidden="false" customHeight="false" outlineLevel="0" collapsed="false">
      <c r="A13" s="0" t="s">
        <v>33</v>
      </c>
      <c r="B13" s="0" t="s">
        <v>18</v>
      </c>
      <c r="C13" s="0" t="n">
        <v>1038.48</v>
      </c>
      <c r="D13" s="0" t="n">
        <v>142</v>
      </c>
      <c r="E13" s="0" t="n">
        <v>197</v>
      </c>
      <c r="F13" s="0" t="n">
        <v>73</v>
      </c>
      <c r="G13" s="0" t="n">
        <v>169</v>
      </c>
      <c r="H13" s="0" t="n">
        <v>92</v>
      </c>
      <c r="I13" s="0" t="n">
        <v>33</v>
      </c>
      <c r="J13" s="0" t="n">
        <v>80</v>
      </c>
      <c r="K13" s="0" t="n">
        <v>116</v>
      </c>
      <c r="L13" s="0" t="n">
        <v>45</v>
      </c>
      <c r="M13" s="0" t="n">
        <v>121</v>
      </c>
      <c r="N13" s="0" t="n">
        <v>5</v>
      </c>
      <c r="O13" s="0" t="n">
        <v>189</v>
      </c>
      <c r="P13" s="0" t="n">
        <f aca="false">SUM(D13:O13)</f>
        <v>1262</v>
      </c>
      <c r="Q13" s="0" t="n">
        <f aca="false">AVERAGE(D13:O13)</f>
        <v>105.166666666667</v>
      </c>
    </row>
    <row r="14" customFormat="false" ht="15" hidden="false" customHeight="false" outlineLevel="0" collapsed="false">
      <c r="A14" s="0" t="s">
        <v>34</v>
      </c>
      <c r="B14" s="0" t="s">
        <v>28</v>
      </c>
      <c r="C14" s="0" t="n">
        <v>1459.24</v>
      </c>
      <c r="D14" s="0" t="n">
        <v>200</v>
      </c>
      <c r="E14" s="0" t="n">
        <v>50</v>
      </c>
      <c r="F14" s="0" t="n">
        <v>134</v>
      </c>
      <c r="G14" s="0" t="n">
        <v>32</v>
      </c>
      <c r="H14" s="0" t="n">
        <v>165</v>
      </c>
      <c r="I14" s="0" t="n">
        <v>81</v>
      </c>
      <c r="J14" s="0" t="n">
        <v>168</v>
      </c>
      <c r="K14" s="0" t="n">
        <v>134</v>
      </c>
      <c r="L14" s="0" t="n">
        <v>160</v>
      </c>
      <c r="M14" s="0" t="n">
        <v>55</v>
      </c>
      <c r="N14" s="0" t="n">
        <v>44</v>
      </c>
      <c r="O14" s="0" t="n">
        <v>100</v>
      </c>
      <c r="P14" s="0" t="n">
        <f aca="false">SUM(D14:O14)</f>
        <v>1323</v>
      </c>
      <c r="Q14" s="0" t="n">
        <f aca="false">AVERAGE(D14:O14)</f>
        <v>110.25</v>
      </c>
    </row>
    <row r="15" customFormat="false" ht="15" hidden="false" customHeight="false" outlineLevel="0" collapsed="false">
      <c r="A15" s="0" t="s">
        <v>35</v>
      </c>
      <c r="B15" s="0" t="s">
        <v>21</v>
      </c>
      <c r="C15" s="0" t="n">
        <v>832.1</v>
      </c>
      <c r="D15" s="0" t="n">
        <v>140</v>
      </c>
      <c r="E15" s="0" t="n">
        <v>5</v>
      </c>
      <c r="F15" s="0" t="n">
        <v>158</v>
      </c>
      <c r="G15" s="0" t="n">
        <v>87</v>
      </c>
      <c r="H15" s="0" t="n">
        <v>130</v>
      </c>
      <c r="I15" s="0" t="n">
        <v>9</v>
      </c>
      <c r="J15" s="0" t="n">
        <v>33</v>
      </c>
      <c r="K15" s="0" t="n">
        <v>97</v>
      </c>
      <c r="L15" s="0" t="n">
        <v>83</v>
      </c>
      <c r="M15" s="0" t="n">
        <v>66</v>
      </c>
      <c r="N15" s="0" t="n">
        <v>19</v>
      </c>
      <c r="O15" s="0" t="n">
        <v>66</v>
      </c>
      <c r="P15" s="0" t="n">
        <f aca="false">SUM(D15:O15)</f>
        <v>893</v>
      </c>
      <c r="Q15" s="0" t="n">
        <f aca="false">AVERAGE(D15:O15)</f>
        <v>74.4166666666667</v>
      </c>
    </row>
    <row r="16" customFormat="false" ht="15" hidden="false" customHeight="false" outlineLevel="0" collapsed="false">
      <c r="A16" s="0" t="s">
        <v>36</v>
      </c>
      <c r="B16" s="0" t="s">
        <v>24</v>
      </c>
      <c r="C16" s="0" t="n">
        <v>1423.08</v>
      </c>
      <c r="D16" s="0" t="n">
        <v>26</v>
      </c>
      <c r="E16" s="0" t="n">
        <v>192</v>
      </c>
      <c r="F16" s="0" t="n">
        <v>129</v>
      </c>
      <c r="G16" s="0" t="n">
        <v>22</v>
      </c>
      <c r="H16" s="0" t="n">
        <v>199</v>
      </c>
      <c r="I16" s="0" t="n">
        <v>141</v>
      </c>
      <c r="J16" s="0" t="n">
        <v>37</v>
      </c>
      <c r="K16" s="0" t="n">
        <v>37</v>
      </c>
      <c r="L16" s="0" t="n">
        <v>173</v>
      </c>
      <c r="M16" s="0" t="n">
        <v>126</v>
      </c>
      <c r="N16" s="0" t="n">
        <v>145</v>
      </c>
      <c r="O16" s="0" t="n">
        <v>47</v>
      </c>
      <c r="P16" s="0" t="n">
        <f aca="false">SUM(D16:O16)</f>
        <v>1274</v>
      </c>
      <c r="Q16" s="0" t="n">
        <f aca="false">AVERAGE(D16:O16)</f>
        <v>106.166666666667</v>
      </c>
    </row>
    <row r="17" customFormat="false" ht="15" hidden="false" customHeight="false" outlineLevel="0" collapsed="false">
      <c r="A17" s="0" t="s">
        <v>37</v>
      </c>
      <c r="B17" s="0" t="s">
        <v>28</v>
      </c>
      <c r="C17" s="0" t="n">
        <v>815.13</v>
      </c>
      <c r="D17" s="0" t="n">
        <v>160</v>
      </c>
      <c r="E17" s="0" t="n">
        <v>113</v>
      </c>
      <c r="F17" s="0" t="n">
        <v>59</v>
      </c>
      <c r="G17" s="0" t="n">
        <v>143</v>
      </c>
      <c r="H17" s="0" t="n">
        <v>198</v>
      </c>
      <c r="I17" s="0" t="n">
        <v>191</v>
      </c>
      <c r="J17" s="0" t="n">
        <v>181</v>
      </c>
      <c r="K17" s="0" t="n">
        <v>56</v>
      </c>
      <c r="L17" s="0" t="n">
        <v>187</v>
      </c>
      <c r="M17" s="0" t="n">
        <v>84</v>
      </c>
      <c r="N17" s="0" t="n">
        <v>107</v>
      </c>
      <c r="O17" s="0" t="n">
        <v>176</v>
      </c>
      <c r="P17" s="0" t="n">
        <f aca="false">SUM(D17:O17)</f>
        <v>1655</v>
      </c>
      <c r="Q17" s="0" t="n">
        <f aca="false">AVERAGE(D17:O17)</f>
        <v>137.916666666667</v>
      </c>
    </row>
    <row r="18" customFormat="false" ht="15" hidden="false" customHeight="false" outlineLevel="0" collapsed="false">
      <c r="A18" s="0" t="s">
        <v>38</v>
      </c>
      <c r="B18" s="0" t="s">
        <v>28</v>
      </c>
      <c r="C18" s="0" t="n">
        <v>685.25</v>
      </c>
      <c r="D18" s="0" t="n">
        <v>137</v>
      </c>
      <c r="E18" s="0" t="n">
        <v>120</v>
      </c>
      <c r="F18" s="0" t="n">
        <v>35</v>
      </c>
      <c r="G18" s="0" t="n">
        <v>68</v>
      </c>
      <c r="H18" s="0" t="n">
        <v>62</v>
      </c>
      <c r="I18" s="0" t="n">
        <v>21</v>
      </c>
      <c r="J18" s="0" t="n">
        <v>91</v>
      </c>
      <c r="K18" s="0" t="n">
        <v>10</v>
      </c>
      <c r="L18" s="0" t="n">
        <v>155</v>
      </c>
      <c r="M18" s="0" t="n">
        <v>146</v>
      </c>
      <c r="N18" s="0" t="n">
        <v>63</v>
      </c>
      <c r="O18" s="0" t="n">
        <v>155</v>
      </c>
      <c r="P18" s="0" t="n">
        <f aca="false">SUM(D18:O18)</f>
        <v>1063</v>
      </c>
      <c r="Q18" s="0" t="n">
        <f aca="false">AVERAGE(D18:O18)</f>
        <v>88.5833333333333</v>
      </c>
    </row>
    <row r="19" customFormat="false" ht="15" hidden="false" customHeight="false" outlineLevel="0" collapsed="false">
      <c r="A19" s="0" t="s">
        <v>39</v>
      </c>
      <c r="B19" s="0" t="s">
        <v>21</v>
      </c>
      <c r="C19" s="0" t="n">
        <v>60.43</v>
      </c>
      <c r="D19" s="0" t="n">
        <v>186</v>
      </c>
      <c r="E19" s="0" t="n">
        <v>166</v>
      </c>
      <c r="F19" s="0" t="n">
        <v>20</v>
      </c>
      <c r="G19" s="0" t="n">
        <v>63</v>
      </c>
      <c r="H19" s="0" t="n">
        <v>22</v>
      </c>
      <c r="I19" s="0" t="n">
        <v>13</v>
      </c>
      <c r="J19" s="0" t="n">
        <v>89</v>
      </c>
      <c r="K19" s="0" t="n">
        <v>23</v>
      </c>
      <c r="L19" s="0" t="n">
        <v>136</v>
      </c>
      <c r="M19" s="0" t="n">
        <v>65</v>
      </c>
      <c r="N19" s="0" t="n">
        <v>76</v>
      </c>
      <c r="O19" s="0" t="n">
        <v>176</v>
      </c>
      <c r="P19" s="0" t="n">
        <f aca="false">SUM(D19:O19)</f>
        <v>1035</v>
      </c>
      <c r="Q19" s="0" t="n">
        <f aca="false">AVERAGE(D19:O19)</f>
        <v>86.25</v>
      </c>
    </row>
    <row r="20" customFormat="false" ht="15" hidden="false" customHeight="false" outlineLevel="0" collapsed="false">
      <c r="A20" s="0" t="s">
        <v>40</v>
      </c>
      <c r="B20" s="0" t="s">
        <v>30</v>
      </c>
      <c r="C20" s="0" t="n">
        <v>360.64</v>
      </c>
      <c r="D20" s="0" t="n">
        <v>38</v>
      </c>
      <c r="E20" s="0" t="n">
        <v>190</v>
      </c>
      <c r="F20" s="0" t="n">
        <v>151</v>
      </c>
      <c r="G20" s="0" t="n">
        <v>152</v>
      </c>
      <c r="H20" s="0" t="n">
        <v>126</v>
      </c>
      <c r="I20" s="0" t="n">
        <v>67</v>
      </c>
      <c r="J20" s="0" t="n">
        <v>126</v>
      </c>
      <c r="K20" s="0" t="n">
        <v>109</v>
      </c>
      <c r="L20" s="0" t="n">
        <v>53</v>
      </c>
      <c r="M20" s="0" t="n">
        <v>29</v>
      </c>
      <c r="N20" s="0" t="n">
        <v>29</v>
      </c>
      <c r="O20" s="0" t="n">
        <v>173</v>
      </c>
      <c r="P20" s="0" t="n">
        <f aca="false">SUM(D20:O20)</f>
        <v>1243</v>
      </c>
      <c r="Q20" s="0" t="n">
        <f aca="false">AVERAGE(D20:O20)</f>
        <v>103.583333333333</v>
      </c>
    </row>
    <row r="21" customFormat="false" ht="15" hidden="false" customHeight="false" outlineLevel="0" collapsed="false">
      <c r="A21" s="0" t="s">
        <v>41</v>
      </c>
      <c r="B21" s="0" t="s">
        <v>30</v>
      </c>
      <c r="C21" s="0" t="n">
        <v>563.73</v>
      </c>
      <c r="D21" s="0" t="n">
        <v>110</v>
      </c>
      <c r="E21" s="0" t="n">
        <v>124</v>
      </c>
      <c r="F21" s="0" t="n">
        <v>191</v>
      </c>
      <c r="G21" s="0" t="n">
        <v>18</v>
      </c>
      <c r="H21" s="0" t="n">
        <v>177</v>
      </c>
      <c r="I21" s="0" t="n">
        <v>172</v>
      </c>
      <c r="J21" s="0" t="n">
        <v>170</v>
      </c>
      <c r="K21" s="0" t="n">
        <v>30</v>
      </c>
      <c r="L21" s="0" t="n">
        <v>20</v>
      </c>
      <c r="M21" s="0" t="n">
        <v>108</v>
      </c>
      <c r="N21" s="0" t="n">
        <v>191</v>
      </c>
      <c r="O21" s="0" t="n">
        <v>91</v>
      </c>
      <c r="P21" s="0" t="n">
        <f aca="false">SUM(D21:O21)</f>
        <v>1402</v>
      </c>
      <c r="Q21" s="0" t="n">
        <f aca="false">AVERAGE(D21:O21)</f>
        <v>116.833333333333</v>
      </c>
    </row>
    <row r="23" customFormat="false" ht="15" hidden="false" customHeight="false" outlineLevel="0" collapsed="false">
      <c r="A23" s="0" t="s">
        <v>42</v>
      </c>
      <c r="D23" s="0" t="n">
        <f aca="false">SUM(D2:D21)</f>
        <v>2102</v>
      </c>
      <c r="E23" s="0" t="n">
        <f aca="false">SUM(E2:E21)</f>
        <v>2209</v>
      </c>
      <c r="F23" s="0" t="n">
        <f aca="false">SUM(F2:F21)</f>
        <v>1983</v>
      </c>
      <c r="G23" s="0" t="n">
        <f aca="false">SUM(G2:G21)</f>
        <v>1843</v>
      </c>
      <c r="H23" s="0" t="n">
        <f aca="false">SUM(H2:H21)</f>
        <v>2212</v>
      </c>
      <c r="I23" s="0" t="n">
        <f aca="false">SUM(I2:I21)</f>
        <v>1819</v>
      </c>
      <c r="J23" s="0" t="n">
        <f aca="false">SUM(J2:J21)</f>
        <v>2082</v>
      </c>
      <c r="K23" s="0" t="n">
        <f aca="false">SUM(K2:K21)</f>
        <v>1922</v>
      </c>
      <c r="L23" s="0" t="n">
        <f aca="false">SUM(L2:L21)</f>
        <v>2291</v>
      </c>
      <c r="M23" s="0" t="n">
        <f aca="false">SUM(M2:M21)</f>
        <v>1966</v>
      </c>
      <c r="N23" s="0" t="n">
        <f aca="false">SUM(N2:N21)</f>
        <v>1911</v>
      </c>
      <c r="O23" s="0" t="n">
        <f aca="false">SUM(O2:O21)</f>
        <v>2341</v>
      </c>
      <c r="P23" s="0" t="n">
        <f aca="false">SUM(P2:P21)</f>
        <v>24681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8"/>
  </cols>
  <sheetData>
    <row r="1" customFormat="false" ht="15" hidden="false" customHeight="false" outlineLevel="0" collapsed="false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</row>
    <row r="2" customFormat="false" ht="15" hidden="false" customHeight="false" outlineLevel="0" collapsed="false">
      <c r="A2" s="0" t="s">
        <v>17</v>
      </c>
      <c r="B2" s="0" t="n">
        <v>55</v>
      </c>
      <c r="C2" s="0" t="n">
        <v>35</v>
      </c>
      <c r="D2" s="0" t="str">
        <f aca="false">IF(B2&lt;C2,"RUPTURE PROCHE","OK")</f>
        <v>OK</v>
      </c>
      <c r="E2" s="0" t="n">
        <f aca="false">IF(B2&lt;C2,C2*3-B2,0)</f>
        <v>0</v>
      </c>
    </row>
    <row r="3" customFormat="false" ht="15" hidden="false" customHeight="false" outlineLevel="0" collapsed="false">
      <c r="A3" s="0" t="s">
        <v>19</v>
      </c>
      <c r="B3" s="0" t="n">
        <v>98</v>
      </c>
      <c r="C3" s="0" t="n">
        <v>32</v>
      </c>
      <c r="D3" s="0" t="str">
        <f aca="false">IF(B3&lt;C3,"RUPTURE PROCHE","OK")</f>
        <v>OK</v>
      </c>
      <c r="E3" s="0" t="n">
        <f aca="false">IF(B3&lt;C3,C3*3-B3,0)</f>
        <v>0</v>
      </c>
    </row>
    <row r="4" customFormat="false" ht="15" hidden="false" customHeight="false" outlineLevel="0" collapsed="false">
      <c r="A4" s="0" t="s">
        <v>20</v>
      </c>
      <c r="B4" s="0" t="n">
        <v>274</v>
      </c>
      <c r="C4" s="0" t="n">
        <v>48</v>
      </c>
      <c r="D4" s="0" t="str">
        <f aca="false">IF(B4&lt;C4,"RUPTURE PROCHE","OK")</f>
        <v>OK</v>
      </c>
      <c r="E4" s="0" t="n">
        <f aca="false">IF(B4&lt;C4,C4*3-B4,0)</f>
        <v>0</v>
      </c>
    </row>
    <row r="5" customFormat="false" ht="15" hidden="false" customHeight="false" outlineLevel="0" collapsed="false">
      <c r="A5" s="0" t="s">
        <v>22</v>
      </c>
      <c r="B5" s="0" t="n">
        <v>71</v>
      </c>
      <c r="C5" s="0" t="n">
        <v>47</v>
      </c>
      <c r="D5" s="0" t="str">
        <f aca="false">IF(B5&lt;C5,"RUPTURE PROCHE","OK")</f>
        <v>OK</v>
      </c>
      <c r="E5" s="0" t="n">
        <f aca="false">IF(B5&lt;C5,C5*3-B5,0)</f>
        <v>0</v>
      </c>
    </row>
    <row r="6" customFormat="false" ht="15" hidden="false" customHeight="false" outlineLevel="0" collapsed="false">
      <c r="A6" s="0" t="s">
        <v>23</v>
      </c>
      <c r="B6" s="0" t="n">
        <v>93</v>
      </c>
      <c r="C6" s="0" t="n">
        <v>37</v>
      </c>
      <c r="D6" s="0" t="str">
        <f aca="false">IF(B6&lt;C6,"RUPTURE PROCHE","OK")</f>
        <v>OK</v>
      </c>
      <c r="E6" s="0" t="n">
        <f aca="false">IF(B6&lt;C6,C6*3-B6,0)</f>
        <v>0</v>
      </c>
    </row>
    <row r="7" customFormat="false" ht="15" hidden="false" customHeight="false" outlineLevel="0" collapsed="false">
      <c r="A7" s="0" t="s">
        <v>25</v>
      </c>
      <c r="B7" s="0" t="n">
        <v>236</v>
      </c>
      <c r="C7" s="0" t="n">
        <v>35</v>
      </c>
      <c r="D7" s="0" t="str">
        <f aca="false">IF(B7&lt;C7,"RUPTURE PROCHE","OK")</f>
        <v>OK</v>
      </c>
      <c r="E7" s="0" t="n">
        <f aca="false">IF(B7&lt;C7,C7*3-B7,0)</f>
        <v>0</v>
      </c>
    </row>
    <row r="8" customFormat="false" ht="15" hidden="false" customHeight="false" outlineLevel="0" collapsed="false">
      <c r="A8" s="0" t="s">
        <v>26</v>
      </c>
      <c r="B8" s="0" t="n">
        <v>38</v>
      </c>
      <c r="C8" s="0" t="n">
        <v>48</v>
      </c>
      <c r="D8" s="0" t="str">
        <f aca="false">IF(B8&lt;C8,"RUPTURE PROCHE","OK")</f>
        <v>RUPTURE PROCHE</v>
      </c>
      <c r="E8" s="0" t="n">
        <f aca="false">IF(B8&lt;C8,C8*3-B8,0)</f>
        <v>106</v>
      </c>
    </row>
    <row r="9" customFormat="false" ht="15" hidden="false" customHeight="false" outlineLevel="0" collapsed="false">
      <c r="A9" s="0" t="s">
        <v>27</v>
      </c>
      <c r="B9" s="0" t="n">
        <v>281</v>
      </c>
      <c r="C9" s="0" t="n">
        <v>26</v>
      </c>
      <c r="D9" s="0" t="str">
        <f aca="false">IF(B9&lt;C9,"RUPTURE PROCHE","OK")</f>
        <v>OK</v>
      </c>
      <c r="E9" s="0" t="n">
        <f aca="false">IF(B9&lt;C9,C9*3-B9,0)</f>
        <v>0</v>
      </c>
    </row>
    <row r="10" customFormat="false" ht="15" hidden="false" customHeight="false" outlineLevel="0" collapsed="false">
      <c r="A10" s="0" t="s">
        <v>29</v>
      </c>
      <c r="B10" s="0" t="n">
        <v>25</v>
      </c>
      <c r="C10" s="0" t="n">
        <v>54</v>
      </c>
      <c r="D10" s="0" t="str">
        <f aca="false">IF(B10&lt;C10,"RUPTURE PROCHE","OK")</f>
        <v>RUPTURE PROCHE</v>
      </c>
      <c r="E10" s="0" t="n">
        <f aca="false">IF(B10&lt;C10,C10*3-B10,0)</f>
        <v>137</v>
      </c>
    </row>
    <row r="11" customFormat="false" ht="15" hidden="false" customHeight="false" outlineLevel="0" collapsed="false">
      <c r="A11" s="0" t="s">
        <v>31</v>
      </c>
      <c r="B11" s="0" t="n">
        <v>7</v>
      </c>
      <c r="C11" s="0" t="n">
        <v>25</v>
      </c>
      <c r="D11" s="0" t="str">
        <f aca="false">IF(B11&lt;C11,"RUPTURE PROCHE","OK")</f>
        <v>RUPTURE PROCHE</v>
      </c>
      <c r="E11" s="0" t="n">
        <f aca="false">IF(B11&lt;C11,C11*3-B11,0)</f>
        <v>68</v>
      </c>
    </row>
    <row r="12" customFormat="false" ht="15" hidden="false" customHeight="false" outlineLevel="0" collapsed="false">
      <c r="A12" s="0" t="s">
        <v>32</v>
      </c>
      <c r="B12" s="0" t="n">
        <v>121</v>
      </c>
      <c r="C12" s="0" t="n">
        <v>30</v>
      </c>
      <c r="D12" s="0" t="str">
        <f aca="false">IF(B12&lt;C12,"RUPTURE PROCHE","OK")</f>
        <v>OK</v>
      </c>
      <c r="E12" s="0" t="n">
        <f aca="false">IF(B12&lt;C12,C12*3-B12,0)</f>
        <v>0</v>
      </c>
    </row>
    <row r="13" customFormat="false" ht="15" hidden="false" customHeight="false" outlineLevel="0" collapsed="false">
      <c r="A13" s="0" t="s">
        <v>33</v>
      </c>
      <c r="B13" s="0" t="n">
        <v>208</v>
      </c>
      <c r="C13" s="0" t="n">
        <v>51</v>
      </c>
      <c r="D13" s="0" t="str">
        <f aca="false">IF(B13&lt;C13,"RUPTURE PROCHE","OK")</f>
        <v>OK</v>
      </c>
      <c r="E13" s="0" t="n">
        <f aca="false">IF(B13&lt;C13,C13*3-B13,0)</f>
        <v>0</v>
      </c>
    </row>
    <row r="14" customFormat="false" ht="15" hidden="false" customHeight="false" outlineLevel="0" collapsed="false">
      <c r="A14" s="0" t="s">
        <v>34</v>
      </c>
      <c r="B14" s="0" t="n">
        <v>246</v>
      </c>
      <c r="C14" s="0" t="n">
        <v>33</v>
      </c>
      <c r="D14" s="0" t="str">
        <f aca="false">IF(B14&lt;C14,"RUPTURE PROCHE","OK")</f>
        <v>OK</v>
      </c>
      <c r="E14" s="0" t="n">
        <f aca="false">IF(B14&lt;C14,C14*3-B14,0)</f>
        <v>0</v>
      </c>
    </row>
    <row r="15" customFormat="false" ht="15" hidden="false" customHeight="false" outlineLevel="0" collapsed="false">
      <c r="A15" s="0" t="s">
        <v>35</v>
      </c>
      <c r="B15" s="0" t="n">
        <v>205</v>
      </c>
      <c r="C15" s="0" t="n">
        <v>23</v>
      </c>
      <c r="D15" s="0" t="str">
        <f aca="false">IF(B15&lt;C15,"RUPTURE PROCHE","OK")</f>
        <v>OK</v>
      </c>
      <c r="E15" s="0" t="n">
        <f aca="false">IF(B15&lt;C15,C15*3-B15,0)</f>
        <v>0</v>
      </c>
    </row>
    <row r="16" customFormat="false" ht="15" hidden="false" customHeight="false" outlineLevel="0" collapsed="false">
      <c r="A16" s="0" t="s">
        <v>36</v>
      </c>
      <c r="B16" s="0" t="n">
        <v>84</v>
      </c>
      <c r="C16" s="0" t="n">
        <v>44</v>
      </c>
      <c r="D16" s="0" t="str">
        <f aca="false">IF(B16&lt;C16,"RUPTURE PROCHE","OK")</f>
        <v>OK</v>
      </c>
      <c r="E16" s="0" t="n">
        <f aca="false">IF(B16&lt;C16,C16*3-B16,0)</f>
        <v>0</v>
      </c>
    </row>
    <row r="17" customFormat="false" ht="15" hidden="false" customHeight="false" outlineLevel="0" collapsed="false">
      <c r="A17" s="0" t="s">
        <v>37</v>
      </c>
      <c r="B17" s="0" t="n">
        <v>1</v>
      </c>
      <c r="C17" s="0" t="n">
        <v>44</v>
      </c>
      <c r="D17" s="0" t="str">
        <f aca="false">IF(B17&lt;C17,"RUPTURE PROCHE","OK")</f>
        <v>RUPTURE PROCHE</v>
      </c>
      <c r="E17" s="0" t="n">
        <f aca="false">IF(B17&lt;C17,C17*3-B17,0)</f>
        <v>131</v>
      </c>
    </row>
    <row r="18" customFormat="false" ht="15" hidden="false" customHeight="false" outlineLevel="0" collapsed="false">
      <c r="A18" s="0" t="s">
        <v>38</v>
      </c>
      <c r="B18" s="0" t="n">
        <v>135</v>
      </c>
      <c r="C18" s="0" t="n">
        <v>49</v>
      </c>
      <c r="D18" s="0" t="str">
        <f aca="false">IF(B18&lt;C18,"RUPTURE PROCHE","OK")</f>
        <v>OK</v>
      </c>
      <c r="E18" s="0" t="n">
        <f aca="false">IF(B18&lt;C18,C18*3-B18,0)</f>
        <v>0</v>
      </c>
    </row>
    <row r="19" customFormat="false" ht="15" hidden="false" customHeight="false" outlineLevel="0" collapsed="false">
      <c r="A19" s="0" t="s">
        <v>39</v>
      </c>
      <c r="B19" s="0" t="n">
        <v>146</v>
      </c>
      <c r="C19" s="0" t="n">
        <v>47</v>
      </c>
      <c r="D19" s="0" t="str">
        <f aca="false">IF(B19&lt;C19,"RUPTURE PROCHE","OK")</f>
        <v>OK</v>
      </c>
      <c r="E19" s="0" t="n">
        <f aca="false">IF(B19&lt;C19,C19*3-B19,0)</f>
        <v>0</v>
      </c>
    </row>
    <row r="20" customFormat="false" ht="15" hidden="false" customHeight="false" outlineLevel="0" collapsed="false">
      <c r="A20" s="0" t="s">
        <v>40</v>
      </c>
      <c r="B20" s="0" t="n">
        <v>284</v>
      </c>
      <c r="C20" s="0" t="n">
        <v>51</v>
      </c>
      <c r="D20" s="0" t="str">
        <f aca="false">IF(B20&lt;C20,"RUPTURE PROCHE","OK")</f>
        <v>OK</v>
      </c>
      <c r="E20" s="0" t="n">
        <f aca="false">IF(B20&lt;C20,C20*3-B20,0)</f>
        <v>0</v>
      </c>
    </row>
    <row r="21" customFormat="false" ht="15" hidden="false" customHeight="false" outlineLevel="0" collapsed="false">
      <c r="A21" s="0" t="s">
        <v>41</v>
      </c>
      <c r="B21" s="0" t="n">
        <v>79</v>
      </c>
      <c r="C21" s="0" t="n">
        <v>32</v>
      </c>
      <c r="D21" s="0" t="str">
        <f aca="false">IF(B21&lt;C21,"RUPTURE PROCHE","OK")</f>
        <v>OK</v>
      </c>
      <c r="E21" s="0" t="n">
        <f aca="false">IF(B21&lt;C21,C21*3-B21,0)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6"/>
  </cols>
  <sheetData>
    <row r="1" customFormat="false" ht="15" hidden="false" customHeight="false" outlineLevel="0" collapsed="false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</row>
    <row r="2" customFormat="false" ht="15" hidden="false" customHeight="false" outlineLevel="0" collapsed="false">
      <c r="A2" s="0" t="s">
        <v>54</v>
      </c>
      <c r="B2" s="0" t="s">
        <v>55</v>
      </c>
      <c r="C2" s="0" t="s">
        <v>56</v>
      </c>
      <c r="D2" s="0" t="s">
        <v>57</v>
      </c>
      <c r="E2" s="0" t="n">
        <v>151870.37</v>
      </c>
      <c r="F2" s="0" t="n">
        <v>0</v>
      </c>
      <c r="G2" s="0" t="n">
        <f aca="false">E2*(1-F2/100)</f>
        <v>151870.37</v>
      </c>
    </row>
    <row r="3" customFormat="false" ht="15" hidden="false" customHeight="false" outlineLevel="0" collapsed="false">
      <c r="A3" s="0" t="s">
        <v>58</v>
      </c>
      <c r="B3" s="0" t="s">
        <v>59</v>
      </c>
      <c r="C3" s="0" t="s">
        <v>60</v>
      </c>
      <c r="D3" s="0" t="s">
        <v>57</v>
      </c>
      <c r="E3" s="0" t="n">
        <v>160234.38</v>
      </c>
      <c r="F3" s="0" t="n">
        <v>0</v>
      </c>
      <c r="G3" s="0" t="n">
        <f aca="false">E3*(1-F3/100)</f>
        <v>160234.38</v>
      </c>
    </row>
    <row r="4" customFormat="false" ht="15" hidden="false" customHeight="false" outlineLevel="0" collapsed="false">
      <c r="A4" s="0" t="s">
        <v>61</v>
      </c>
      <c r="B4" s="0" t="s">
        <v>62</v>
      </c>
      <c r="C4" s="0" t="s">
        <v>63</v>
      </c>
      <c r="D4" s="0" t="s">
        <v>64</v>
      </c>
      <c r="E4" s="0" t="n">
        <v>460096.63</v>
      </c>
      <c r="F4" s="0" t="n">
        <v>20</v>
      </c>
      <c r="G4" s="0" t="n">
        <f aca="false">E4*(1-F4/100)</f>
        <v>368077.304</v>
      </c>
    </row>
    <row r="5" customFormat="false" ht="15" hidden="false" customHeight="false" outlineLevel="0" collapsed="false">
      <c r="A5" s="0" t="s">
        <v>65</v>
      </c>
      <c r="B5" s="0" t="s">
        <v>66</v>
      </c>
      <c r="C5" s="0" t="s">
        <v>63</v>
      </c>
      <c r="D5" s="0" t="s">
        <v>64</v>
      </c>
      <c r="E5" s="0" t="n">
        <v>480585.56</v>
      </c>
      <c r="F5" s="0" t="n">
        <v>0</v>
      </c>
      <c r="G5" s="0" t="n">
        <f aca="false">E5*(1-F5/100)</f>
        <v>480585.56</v>
      </c>
    </row>
    <row r="6" customFormat="false" ht="15" hidden="false" customHeight="false" outlineLevel="0" collapsed="false">
      <c r="A6" s="0" t="s">
        <v>67</v>
      </c>
      <c r="B6" s="0" t="s">
        <v>68</v>
      </c>
      <c r="C6" s="0" t="s">
        <v>69</v>
      </c>
      <c r="D6" s="0" t="s">
        <v>64</v>
      </c>
      <c r="E6" s="0" t="n">
        <v>299542.38</v>
      </c>
      <c r="F6" s="0" t="n">
        <v>5</v>
      </c>
      <c r="G6" s="0" t="n">
        <f aca="false">E6*(1-F6/100)</f>
        <v>284565.261</v>
      </c>
    </row>
    <row r="7" customFormat="false" ht="15" hidden="false" customHeight="false" outlineLevel="0" collapsed="false">
      <c r="A7" s="0" t="s">
        <v>70</v>
      </c>
      <c r="B7" s="0" t="s">
        <v>71</v>
      </c>
      <c r="C7" s="0" t="s">
        <v>72</v>
      </c>
      <c r="D7" s="0" t="s">
        <v>57</v>
      </c>
      <c r="E7" s="0" t="n">
        <v>471090.08</v>
      </c>
      <c r="F7" s="0" t="n">
        <v>20</v>
      </c>
      <c r="G7" s="0" t="n">
        <f aca="false">E7*(1-F7/100)</f>
        <v>376872.064</v>
      </c>
    </row>
    <row r="8" customFormat="false" ht="15" hidden="false" customHeight="false" outlineLevel="0" collapsed="false">
      <c r="A8" s="0" t="s">
        <v>73</v>
      </c>
      <c r="B8" s="0" t="s">
        <v>74</v>
      </c>
      <c r="C8" s="0" t="s">
        <v>75</v>
      </c>
      <c r="D8" s="0" t="s">
        <v>76</v>
      </c>
      <c r="E8" s="0" t="n">
        <v>299286.98</v>
      </c>
      <c r="F8" s="0" t="n">
        <v>20</v>
      </c>
      <c r="G8" s="0" t="n">
        <f aca="false">E8*(1-F8/100)</f>
        <v>239429.584</v>
      </c>
    </row>
    <row r="9" customFormat="false" ht="15" hidden="false" customHeight="false" outlineLevel="0" collapsed="false">
      <c r="A9" s="0" t="s">
        <v>77</v>
      </c>
      <c r="B9" s="0" t="s">
        <v>78</v>
      </c>
      <c r="C9" s="0" t="s">
        <v>79</v>
      </c>
      <c r="D9" s="0" t="s">
        <v>76</v>
      </c>
      <c r="E9" s="0" t="n">
        <v>330399.72</v>
      </c>
      <c r="F9" s="0" t="n">
        <v>20</v>
      </c>
      <c r="G9" s="0" t="n">
        <f aca="false">E9*(1-F9/100)</f>
        <v>264319.776</v>
      </c>
    </row>
    <row r="10" customFormat="false" ht="15" hidden="false" customHeight="false" outlineLevel="0" collapsed="false">
      <c r="A10" s="0" t="s">
        <v>80</v>
      </c>
      <c r="B10" s="0" t="s">
        <v>81</v>
      </c>
      <c r="C10" s="0" t="s">
        <v>72</v>
      </c>
      <c r="D10" s="0" t="s">
        <v>76</v>
      </c>
      <c r="E10" s="0" t="n">
        <v>106108.3</v>
      </c>
      <c r="F10" s="0" t="n">
        <v>10</v>
      </c>
      <c r="G10" s="0" t="n">
        <f aca="false">E10*(1-F10/100)</f>
        <v>95497.47</v>
      </c>
    </row>
    <row r="11" customFormat="false" ht="15" hidden="false" customHeight="false" outlineLevel="0" collapsed="false">
      <c r="A11" s="0" t="s">
        <v>82</v>
      </c>
      <c r="B11" s="0" t="s">
        <v>83</v>
      </c>
      <c r="C11" s="0" t="s">
        <v>60</v>
      </c>
      <c r="D11" s="0" t="s">
        <v>76</v>
      </c>
      <c r="E11" s="0" t="n">
        <v>200913.99</v>
      </c>
      <c r="F11" s="0" t="n">
        <v>10</v>
      </c>
      <c r="G11" s="0" t="n">
        <f aca="false">E11*(1-F11/100)</f>
        <v>180822.591</v>
      </c>
    </row>
    <row r="12" customFormat="false" ht="15" hidden="false" customHeight="false" outlineLevel="0" collapsed="false">
      <c r="A12" s="0" t="s">
        <v>84</v>
      </c>
      <c r="B12" s="0" t="s">
        <v>85</v>
      </c>
      <c r="C12" s="0" t="s">
        <v>56</v>
      </c>
      <c r="D12" s="0" t="s">
        <v>76</v>
      </c>
      <c r="E12" s="0" t="n">
        <v>464864.07</v>
      </c>
      <c r="F12" s="0" t="n">
        <v>0</v>
      </c>
      <c r="G12" s="0" t="n">
        <f aca="false">E12*(1-F12/100)</f>
        <v>464864.07</v>
      </c>
    </row>
    <row r="13" customFormat="false" ht="15" hidden="false" customHeight="false" outlineLevel="0" collapsed="false">
      <c r="A13" s="0" t="s">
        <v>86</v>
      </c>
      <c r="B13" s="0" t="s">
        <v>87</v>
      </c>
      <c r="C13" s="0" t="s">
        <v>75</v>
      </c>
      <c r="D13" s="0" t="s">
        <v>64</v>
      </c>
      <c r="E13" s="0" t="n">
        <v>312473.83</v>
      </c>
      <c r="F13" s="0" t="n">
        <v>20</v>
      </c>
      <c r="G13" s="0" t="n">
        <f aca="false">E13*(1-F13/100)</f>
        <v>249979.064</v>
      </c>
    </row>
    <row r="14" customFormat="false" ht="15" hidden="false" customHeight="false" outlineLevel="0" collapsed="false">
      <c r="A14" s="0" t="s">
        <v>88</v>
      </c>
      <c r="B14" s="0" t="s">
        <v>89</v>
      </c>
      <c r="C14" s="0" t="s">
        <v>90</v>
      </c>
      <c r="D14" s="0" t="s">
        <v>64</v>
      </c>
      <c r="E14" s="0" t="n">
        <v>271129.03</v>
      </c>
      <c r="F14" s="0" t="n">
        <v>20</v>
      </c>
      <c r="G14" s="0" t="n">
        <f aca="false">E14*(1-F14/100)</f>
        <v>216903.224</v>
      </c>
    </row>
    <row r="15" customFormat="false" ht="15" hidden="false" customHeight="false" outlineLevel="0" collapsed="false">
      <c r="A15" s="0" t="s">
        <v>91</v>
      </c>
      <c r="B15" s="0" t="s">
        <v>92</v>
      </c>
      <c r="C15" s="0" t="s">
        <v>72</v>
      </c>
      <c r="D15" s="0" t="s">
        <v>76</v>
      </c>
      <c r="E15" s="0" t="n">
        <v>466963.39</v>
      </c>
      <c r="F15" s="0" t="n">
        <v>0</v>
      </c>
      <c r="G15" s="0" t="n">
        <f aca="false">E15*(1-F15/100)</f>
        <v>466963.39</v>
      </c>
    </row>
    <row r="16" customFormat="false" ht="15" hidden="false" customHeight="false" outlineLevel="0" collapsed="false">
      <c r="A16" s="0" t="s">
        <v>93</v>
      </c>
      <c r="B16" s="0" t="s">
        <v>94</v>
      </c>
      <c r="C16" s="0" t="s">
        <v>90</v>
      </c>
      <c r="D16" s="0" t="s">
        <v>57</v>
      </c>
      <c r="E16" s="0" t="n">
        <v>146068.76</v>
      </c>
      <c r="F16" s="0" t="n">
        <v>15</v>
      </c>
      <c r="G16" s="0" t="n">
        <f aca="false">E16*(1-F16/100)</f>
        <v>124158.446</v>
      </c>
    </row>
    <row r="17" customFormat="false" ht="15" hidden="false" customHeight="false" outlineLevel="0" collapsed="false">
      <c r="A17" s="0" t="s">
        <v>95</v>
      </c>
      <c r="B17" s="0" t="s">
        <v>96</v>
      </c>
      <c r="C17" s="0" t="s">
        <v>56</v>
      </c>
      <c r="D17" s="0" t="s">
        <v>57</v>
      </c>
      <c r="E17" s="0" t="n">
        <v>492007.39</v>
      </c>
      <c r="F17" s="0" t="n">
        <v>20</v>
      </c>
      <c r="G17" s="0" t="n">
        <f aca="false">E17*(1-F17/100)</f>
        <v>393605.912</v>
      </c>
    </row>
    <row r="18" customFormat="false" ht="15" hidden="false" customHeight="false" outlineLevel="0" collapsed="false">
      <c r="A18" s="0" t="s">
        <v>97</v>
      </c>
      <c r="B18" s="0" t="s">
        <v>98</v>
      </c>
      <c r="C18" s="0" t="s">
        <v>75</v>
      </c>
      <c r="D18" s="0" t="s">
        <v>64</v>
      </c>
      <c r="E18" s="0" t="n">
        <v>409466.55</v>
      </c>
      <c r="F18" s="0" t="n">
        <v>10</v>
      </c>
      <c r="G18" s="0" t="n">
        <f aca="false">E18*(1-F18/100)</f>
        <v>368519.895</v>
      </c>
    </row>
    <row r="19" customFormat="false" ht="15" hidden="false" customHeight="false" outlineLevel="0" collapsed="false">
      <c r="A19" s="0" t="s">
        <v>99</v>
      </c>
      <c r="B19" s="0" t="s">
        <v>100</v>
      </c>
      <c r="C19" s="0" t="s">
        <v>63</v>
      </c>
      <c r="D19" s="0" t="s">
        <v>76</v>
      </c>
      <c r="E19" s="0" t="n">
        <v>135910.63</v>
      </c>
      <c r="F19" s="0" t="n">
        <v>0</v>
      </c>
      <c r="G19" s="0" t="n">
        <f aca="false">E19*(1-F19/100)</f>
        <v>135910.63</v>
      </c>
    </row>
    <row r="20" customFormat="false" ht="15" hidden="false" customHeight="false" outlineLevel="0" collapsed="false">
      <c r="A20" s="0" t="s">
        <v>101</v>
      </c>
      <c r="B20" s="0" t="s">
        <v>102</v>
      </c>
      <c r="C20" s="0" t="s">
        <v>79</v>
      </c>
      <c r="D20" s="0" t="s">
        <v>64</v>
      </c>
      <c r="E20" s="0" t="n">
        <v>144469.35</v>
      </c>
      <c r="F20" s="0" t="n">
        <v>5</v>
      </c>
      <c r="G20" s="0" t="n">
        <f aca="false">E20*(1-F20/100)</f>
        <v>137245.8825</v>
      </c>
    </row>
    <row r="21" customFormat="false" ht="15" hidden="false" customHeight="false" outlineLevel="0" collapsed="false">
      <c r="A21" s="0" t="s">
        <v>103</v>
      </c>
      <c r="B21" s="0" t="s">
        <v>104</v>
      </c>
      <c r="C21" s="0" t="s">
        <v>60</v>
      </c>
      <c r="D21" s="0" t="s">
        <v>76</v>
      </c>
      <c r="E21" s="0" t="n">
        <v>345311.08</v>
      </c>
      <c r="F21" s="0" t="n">
        <v>10</v>
      </c>
      <c r="G21" s="0" t="n">
        <f aca="false">E21*(1-F21/100)</f>
        <v>310779.972</v>
      </c>
    </row>
    <row r="22" customFormat="false" ht="15" hidden="false" customHeight="false" outlineLevel="0" collapsed="false">
      <c r="A22" s="0" t="s">
        <v>105</v>
      </c>
      <c r="B22" s="0" t="s">
        <v>106</v>
      </c>
      <c r="C22" s="0" t="s">
        <v>75</v>
      </c>
      <c r="D22" s="0" t="s">
        <v>57</v>
      </c>
      <c r="E22" s="0" t="n">
        <v>453141.56</v>
      </c>
      <c r="F22" s="0" t="n">
        <v>0</v>
      </c>
      <c r="G22" s="0" t="n">
        <f aca="false">E22*(1-F22/100)</f>
        <v>453141.56</v>
      </c>
    </row>
    <row r="23" customFormat="false" ht="15" hidden="false" customHeight="false" outlineLevel="0" collapsed="false">
      <c r="A23" s="0" t="s">
        <v>107</v>
      </c>
      <c r="B23" s="0" t="s">
        <v>108</v>
      </c>
      <c r="C23" s="0" t="s">
        <v>56</v>
      </c>
      <c r="D23" s="0" t="s">
        <v>64</v>
      </c>
      <c r="E23" s="0" t="n">
        <v>214670.01</v>
      </c>
      <c r="F23" s="0" t="n">
        <v>10</v>
      </c>
      <c r="G23" s="0" t="n">
        <f aca="false">E23*(1-F23/100)</f>
        <v>193203.009</v>
      </c>
    </row>
    <row r="24" customFormat="false" ht="15" hidden="false" customHeight="false" outlineLevel="0" collapsed="false">
      <c r="A24" s="0" t="s">
        <v>109</v>
      </c>
      <c r="B24" s="0" t="s">
        <v>110</v>
      </c>
      <c r="C24" s="0" t="s">
        <v>90</v>
      </c>
      <c r="D24" s="0" t="s">
        <v>64</v>
      </c>
      <c r="E24" s="0" t="n">
        <v>170110.49</v>
      </c>
      <c r="F24" s="0" t="n">
        <v>5</v>
      </c>
      <c r="G24" s="0" t="n">
        <f aca="false">E24*(1-F24/100)</f>
        <v>161604.9655</v>
      </c>
    </row>
    <row r="25" customFormat="false" ht="15" hidden="false" customHeight="false" outlineLevel="0" collapsed="false">
      <c r="A25" s="0" t="s">
        <v>111</v>
      </c>
      <c r="B25" s="0" t="s">
        <v>112</v>
      </c>
      <c r="C25" s="0" t="s">
        <v>69</v>
      </c>
      <c r="D25" s="0" t="s">
        <v>57</v>
      </c>
      <c r="E25" s="0" t="n">
        <v>371909.3</v>
      </c>
      <c r="F25" s="0" t="n">
        <v>20</v>
      </c>
      <c r="G25" s="0" t="n">
        <f aca="false">E25*(1-F25/100)</f>
        <v>297527.44</v>
      </c>
    </row>
    <row r="26" customFormat="false" ht="15" hidden="false" customHeight="false" outlineLevel="0" collapsed="false">
      <c r="A26" s="0" t="s">
        <v>113</v>
      </c>
      <c r="B26" s="0" t="s">
        <v>114</v>
      </c>
      <c r="C26" s="0" t="s">
        <v>63</v>
      </c>
      <c r="D26" s="0" t="s">
        <v>57</v>
      </c>
      <c r="E26" s="0" t="n">
        <v>9786.5</v>
      </c>
      <c r="F26" s="0" t="n">
        <v>0</v>
      </c>
      <c r="G26" s="0" t="n">
        <f aca="false">E26*(1-F26/100)</f>
        <v>9786.5</v>
      </c>
    </row>
    <row r="27" customFormat="false" ht="15" hidden="false" customHeight="false" outlineLevel="0" collapsed="false">
      <c r="A27" s="0" t="s">
        <v>115</v>
      </c>
      <c r="B27" s="0" t="s">
        <v>116</v>
      </c>
      <c r="C27" s="0" t="s">
        <v>63</v>
      </c>
      <c r="D27" s="0" t="s">
        <v>76</v>
      </c>
      <c r="E27" s="0" t="n">
        <v>22833.93</v>
      </c>
      <c r="F27" s="0" t="n">
        <v>10</v>
      </c>
      <c r="G27" s="0" t="n">
        <f aca="false">E27*(1-F27/100)</f>
        <v>20550.537</v>
      </c>
    </row>
    <row r="28" customFormat="false" ht="15" hidden="false" customHeight="false" outlineLevel="0" collapsed="false">
      <c r="A28" s="0" t="s">
        <v>117</v>
      </c>
      <c r="B28" s="0" t="s">
        <v>118</v>
      </c>
      <c r="C28" s="0" t="s">
        <v>79</v>
      </c>
      <c r="D28" s="0" t="s">
        <v>64</v>
      </c>
      <c r="E28" s="0" t="n">
        <v>68085.53</v>
      </c>
      <c r="F28" s="0" t="n">
        <v>10</v>
      </c>
      <c r="G28" s="0" t="n">
        <f aca="false">E28*(1-F28/100)</f>
        <v>61276.977</v>
      </c>
    </row>
    <row r="29" customFormat="false" ht="15" hidden="false" customHeight="false" outlineLevel="0" collapsed="false">
      <c r="A29" s="0" t="s">
        <v>119</v>
      </c>
      <c r="B29" s="0" t="s">
        <v>120</v>
      </c>
      <c r="C29" s="0" t="s">
        <v>72</v>
      </c>
      <c r="D29" s="0" t="s">
        <v>57</v>
      </c>
      <c r="E29" s="0" t="n">
        <v>449967.7</v>
      </c>
      <c r="F29" s="0" t="n">
        <v>5</v>
      </c>
      <c r="G29" s="0" t="n">
        <f aca="false">E29*(1-F29/100)</f>
        <v>427469.315</v>
      </c>
    </row>
    <row r="30" customFormat="false" ht="15" hidden="false" customHeight="false" outlineLevel="0" collapsed="false">
      <c r="A30" s="0" t="s">
        <v>121</v>
      </c>
      <c r="B30" s="0" t="s">
        <v>122</v>
      </c>
      <c r="C30" s="0" t="s">
        <v>69</v>
      </c>
      <c r="D30" s="0" t="s">
        <v>57</v>
      </c>
      <c r="E30" s="0" t="n">
        <v>55882.84</v>
      </c>
      <c r="F30" s="0" t="n">
        <v>20</v>
      </c>
      <c r="G30" s="0" t="n">
        <f aca="false">E30*(1-F30/100)</f>
        <v>44706.272</v>
      </c>
    </row>
    <row r="31" customFormat="false" ht="15" hidden="false" customHeight="false" outlineLevel="0" collapsed="false">
      <c r="A31" s="0" t="s">
        <v>123</v>
      </c>
      <c r="B31" s="0" t="s">
        <v>124</v>
      </c>
      <c r="C31" s="0" t="s">
        <v>63</v>
      </c>
      <c r="D31" s="0" t="s">
        <v>64</v>
      </c>
      <c r="E31" s="0" t="n">
        <v>375991.42</v>
      </c>
      <c r="F31" s="0" t="n">
        <v>5</v>
      </c>
      <c r="G31" s="0" t="n">
        <f aca="false">E31*(1-F31/100)</f>
        <v>357191.849</v>
      </c>
    </row>
    <row r="33" customFormat="false" ht="15" hidden="false" customHeight="false" outlineLevel="0" collapsed="false">
      <c r="B33" s="0" t="s">
        <v>42</v>
      </c>
      <c r="E33" s="0" t="n">
        <f aca="false">SUM(E2:E31)</f>
        <v>8341171.75</v>
      </c>
      <c r="G33" s="0" t="n">
        <f aca="false">SUM(G2:G31)</f>
        <v>7497663.27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125</v>
      </c>
      <c r="B1" s="1" t="s">
        <v>126</v>
      </c>
    </row>
    <row r="2" customFormat="false" ht="15" hidden="false" customHeight="false" outlineLevel="0" collapsed="false">
      <c r="A2" s="0" t="s">
        <v>127</v>
      </c>
      <c r="B2" s="0" t="n">
        <f aca="false">SUMPRODUCT(Ventes!C2:C21,Ventes!P2:P21)</f>
        <v>19033837.86</v>
      </c>
    </row>
    <row r="3" customFormat="false" ht="15" hidden="false" customHeight="false" outlineLevel="0" collapsed="false">
      <c r="A3" s="0" t="s">
        <v>128</v>
      </c>
      <c r="B3" s="0" t="n">
        <f aca="false">COUNTIF(Stock!D2:D21,"RUPTURE PROCHE")</f>
        <v>4</v>
      </c>
    </row>
    <row r="4" customFormat="false" ht="15" hidden="false" customHeight="false" outlineLevel="0" collapsed="false">
      <c r="A4" s="0" t="s">
        <v>129</v>
      </c>
      <c r="B4" s="0" t="n">
        <f aca="false">SUM(Clients!G2:G31)</f>
        <v>7497663.27</v>
      </c>
    </row>
    <row r="5" customFormat="false" ht="15" hidden="false" customHeight="false" outlineLevel="0" collapsed="false">
      <c r="A5" s="0" t="s">
        <v>130</v>
      </c>
      <c r="B5" s="0" t="n">
        <f aca="false">COUNTIF(Clients!D2:D31,"Entreprise")</f>
        <v>9</v>
      </c>
    </row>
    <row r="6" customFormat="false" ht="15" hidden="false" customHeight="false" outlineLevel="0" collapsed="false">
      <c r="A6" s="0" t="s">
        <v>131</v>
      </c>
      <c r="B6" s="0" t="n">
        <f aca="false">AVERAGE(Ventes!C2:C21)</f>
        <v>773.2155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2026-07-26T00:11:48Z</dcterms:created>
  <dc:creator>openpyxl</dc:creator>
  <dc:description/>
  <dc:language>en-US</dc:language>
  <cp:lastModifiedBy/>
  <dcterms:modified xsi:type="dcterms:W3CDTF">2026-07-26T00:11:48Z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